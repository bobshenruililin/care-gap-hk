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Z:\Quarterly Stat\2026\2026-03\"/>
    </mc:Choice>
  </mc:AlternateContent>
  <xr:revisionPtr revIDLastSave="0" documentId="13_ncr:1_{5CBC38BC-5283-4183-9F24-947FF712428E}" xr6:coauthVersionLast="47" xr6:coauthVersionMax="47" xr10:uidLastSave="{00000000-0000-0000-0000-000000000000}"/>
  <bookViews>
    <workbookView xWindow="-120" yWindow="-120" windowWidth="29040" windowHeight="15840" xr2:uid="{00000000-000D-0000-FFFF-FFFF00000000}"/>
  </bookViews>
  <sheets>
    <sheet name="Capacity of Non-sub. RCHEs" sheetId="3" r:id="rId1"/>
  </sheets>
  <definedNames>
    <definedName name="_xlnm.Print_Area" localSheetId="0">'Capacity of Non-sub. RCHEs'!$A$1:$H$44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8" i="3" l="1"/>
  <c r="C23" i="3"/>
  <c r="C28" i="3" l="1"/>
  <c r="E25" i="3" l="1"/>
  <c r="C18" i="3" l="1"/>
  <c r="H28" i="3" l="1"/>
  <c r="C19" i="3" l="1"/>
  <c r="H17" i="3"/>
  <c r="H8" i="3" l="1"/>
  <c r="H9" i="3"/>
  <c r="H10" i="3"/>
  <c r="G13" i="3"/>
  <c r="H11" i="3"/>
  <c r="H12" i="3"/>
  <c r="C13" i="3"/>
  <c r="E13" i="3"/>
  <c r="F13" i="3"/>
  <c r="B14" i="3"/>
  <c r="H16" i="3"/>
  <c r="H18" i="3"/>
  <c r="D19" i="3"/>
  <c r="E19" i="3"/>
  <c r="F19" i="3"/>
  <c r="F20" i="3" s="1"/>
  <c r="G19" i="3"/>
  <c r="B20" i="3"/>
  <c r="H22" i="3"/>
  <c r="H23" i="3"/>
  <c r="H24" i="3"/>
  <c r="C25" i="3"/>
  <c r="D25" i="3"/>
  <c r="F25" i="3"/>
  <c r="G25" i="3"/>
  <c r="B26" i="3"/>
  <c r="H29" i="3"/>
  <c r="H30" i="3"/>
  <c r="H31" i="3"/>
  <c r="C32" i="3"/>
  <c r="E32" i="3"/>
  <c r="F32" i="3"/>
  <c r="G32" i="3"/>
  <c r="B33" i="3"/>
  <c r="H35" i="3"/>
  <c r="H36" i="3"/>
  <c r="H37" i="3"/>
  <c r="C38" i="3"/>
  <c r="D38" i="3"/>
  <c r="E38" i="3"/>
  <c r="C39" i="3" s="1"/>
  <c r="G38" i="3"/>
  <c r="B39" i="3"/>
  <c r="C40" i="3" l="1"/>
  <c r="B41" i="3"/>
  <c r="C26" i="3"/>
  <c r="F26" i="3"/>
  <c r="F39" i="3"/>
  <c r="H39" i="3"/>
  <c r="F40" i="3"/>
  <c r="H20" i="3"/>
  <c r="C20" i="3"/>
  <c r="F33" i="3"/>
  <c r="H26" i="3"/>
  <c r="E40" i="3"/>
  <c r="H33" i="3"/>
  <c r="F14" i="3"/>
  <c r="G40" i="3"/>
  <c r="H14" i="3"/>
  <c r="D32" i="3"/>
  <c r="C33" i="3" s="1"/>
  <c r="D13" i="3"/>
  <c r="F41" i="3" l="1"/>
  <c r="H41" i="3"/>
  <c r="D40" i="3"/>
  <c r="C41" i="3" s="1"/>
  <c r="C14" i="3"/>
</calcChain>
</file>

<file path=xl/sharedStrings.xml><?xml version="1.0" encoding="utf-8"?>
<sst xmlns="http://schemas.openxmlformats.org/spreadsheetml/2006/main" count="62" uniqueCount="44">
  <si>
    <t>Islands</t>
    <phoneticPr fontId="1" type="noConversion"/>
  </si>
  <si>
    <t>Hong Kong</t>
    <phoneticPr fontId="1" type="noConversion"/>
  </si>
  <si>
    <t>Central &amp; Western</t>
    <phoneticPr fontId="1" type="noConversion"/>
  </si>
  <si>
    <t>Sub-total:</t>
    <phoneticPr fontId="1" type="noConversion"/>
  </si>
  <si>
    <t>West Kowloon</t>
    <phoneticPr fontId="1" type="noConversion"/>
  </si>
  <si>
    <t xml:space="preserve">Shamshuipo </t>
    <phoneticPr fontId="1" type="noConversion"/>
  </si>
  <si>
    <t xml:space="preserve">Kowloon City </t>
    <phoneticPr fontId="1" type="noConversion"/>
  </si>
  <si>
    <t>East Kowloon</t>
    <phoneticPr fontId="1" type="noConversion"/>
  </si>
  <si>
    <t xml:space="preserve">Kwun Tong </t>
    <phoneticPr fontId="1" type="noConversion"/>
  </si>
  <si>
    <t>New Territories East</t>
    <phoneticPr fontId="1" type="noConversion"/>
  </si>
  <si>
    <t>Shatin</t>
    <phoneticPr fontId="1" type="noConversion"/>
  </si>
  <si>
    <t>New Territories West</t>
    <phoneticPr fontId="1" type="noConversion"/>
  </si>
  <si>
    <t>Tuen Mun</t>
    <phoneticPr fontId="1" type="noConversion"/>
  </si>
  <si>
    <t>Capacity</t>
    <phoneticPr fontId="1" type="noConversion"/>
  </si>
  <si>
    <t>Total</t>
    <phoneticPr fontId="1" type="noConversion"/>
  </si>
  <si>
    <t>Care-and-Attention Home</t>
    <phoneticPr fontId="1" type="noConversion"/>
  </si>
  <si>
    <t>Nursing Home</t>
    <phoneticPr fontId="1" type="noConversion"/>
  </si>
  <si>
    <t xml:space="preserve">Eastern </t>
    <phoneticPr fontId="1" type="noConversion"/>
  </si>
  <si>
    <t>Wanchai</t>
    <phoneticPr fontId="1" type="noConversion"/>
  </si>
  <si>
    <t xml:space="preserve">Southern </t>
    <phoneticPr fontId="1" type="noConversion"/>
  </si>
  <si>
    <t>Wong Tai Sin</t>
    <phoneticPr fontId="1" type="noConversion"/>
  </si>
  <si>
    <t>Sai Kung</t>
    <phoneticPr fontId="1" type="noConversion"/>
  </si>
  <si>
    <t>Tai Po</t>
    <phoneticPr fontId="1" type="noConversion"/>
  </si>
  <si>
    <t>North</t>
    <phoneticPr fontId="1" type="noConversion"/>
  </si>
  <si>
    <t>Yuen Long</t>
    <phoneticPr fontId="1" type="noConversion"/>
  </si>
  <si>
    <t>Tsuen Wan</t>
    <phoneticPr fontId="1" type="noConversion"/>
  </si>
  <si>
    <t>Kwai Tsing</t>
    <phoneticPr fontId="1" type="noConversion"/>
  </si>
  <si>
    <t>Home for 
the Aged</t>
    <phoneticPr fontId="1" type="noConversion"/>
  </si>
  <si>
    <t>Contract 
Home</t>
    <phoneticPr fontId="1" type="noConversion"/>
  </si>
  <si>
    <t xml:space="preserve">WK Total: </t>
    <phoneticPr fontId="1" type="noConversion"/>
  </si>
  <si>
    <t xml:space="preserve">EK Total: </t>
    <phoneticPr fontId="1" type="noConversion"/>
  </si>
  <si>
    <t xml:space="preserve">NTE Total: </t>
    <phoneticPr fontId="1" type="noConversion"/>
  </si>
  <si>
    <t xml:space="preserve">NTW Total: </t>
    <phoneticPr fontId="1" type="noConversion"/>
  </si>
  <si>
    <t>Grand Total:</t>
    <phoneticPr fontId="1" type="noConversion"/>
  </si>
  <si>
    <t>HK Total:</t>
    <phoneticPr fontId="1" type="noConversion"/>
  </si>
  <si>
    <t>Home Operated by NGO</t>
    <phoneticPr fontId="1" type="noConversion"/>
  </si>
  <si>
    <t>Private 
Home (Note 1)</t>
    <phoneticPr fontId="1" type="noConversion"/>
  </si>
  <si>
    <t xml:space="preserve">Yau Tsim Mong </t>
    <phoneticPr fontId="1" type="noConversion"/>
  </si>
  <si>
    <t>-</t>
    <phoneticPr fontId="1" type="noConversion"/>
  </si>
  <si>
    <t>(Note 2): Figures include places providing by self-financing nursing homes purely under the registration regime 
               administered by the Department of Health.</t>
    <phoneticPr fontId="1" type="noConversion"/>
  </si>
  <si>
    <t>Home Operated by NGO
 (Note 2)</t>
    <phoneticPr fontId="1" type="noConversion"/>
  </si>
  <si>
    <t>31.3.2026</t>
    <phoneticPr fontId="1" type="noConversion"/>
  </si>
  <si>
    <t>Capacity of Non-subsidised Residential Services for the Elderly (By district)</t>
    <phoneticPr fontId="1" type="noConversion"/>
  </si>
  <si>
    <t>(Note 1): On and after 1 April 2021, number of places of private residential care homes for the elderly changes from the maximum number of places permitted under the licence to the actual bed places provided for calculation.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</si>
</sst>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 "/>
    <numFmt numFmtId="177" formatCode="##\ ###\ "/>
    <numFmt numFmtId="178" formatCode="##\ ###"/>
  </numFmts>
  <fonts count="16">
    <font>
      <sz val="12"/>
      <name val="新細明體"/>
      <family val="1"/>
      <charset val="136"/>
    </font>
    <font>
      <sz val="9"/>
      <name val="新細明體"/>
      <family val="1"/>
      <charset val="136"/>
    </font>
    <font>
      <sz val="11"/>
      <color theme="1"/>
      <name val="Times New Roman"/>
      <family val="1"/>
    </font>
    <font>
      <b/>
      <sz val="11"/>
      <color theme="1"/>
      <name val="Times New Roman"/>
      <family val="1"/>
    </font>
    <font>
      <sz val="14"/>
      <color theme="1"/>
      <name val="Times New Roman"/>
      <family val="1"/>
    </font>
    <font>
      <sz val="12"/>
      <color theme="1"/>
      <name val="Times New Roman"/>
      <family val="1"/>
    </font>
    <font>
      <sz val="10"/>
      <color theme="1"/>
      <name val="Times New Roman"/>
      <family val="1"/>
    </font>
    <font>
      <i/>
      <sz val="11"/>
      <color theme="1"/>
      <name val="Times New Roman"/>
      <family val="1"/>
    </font>
    <font>
      <b/>
      <sz val="14"/>
      <name val="Times New Roman"/>
      <family val="1"/>
    </font>
    <font>
      <b/>
      <sz val="11"/>
      <name val="Times New Roman"/>
      <family val="1"/>
    </font>
    <font>
      <b/>
      <sz val="13"/>
      <name val="Times New Roman"/>
      <family val="1"/>
    </font>
    <font>
      <b/>
      <sz val="10"/>
      <name val="Times New Roman"/>
      <family val="1"/>
    </font>
    <font>
      <sz val="10"/>
      <name val="Times New Roman"/>
      <family val="1"/>
    </font>
    <font>
      <b/>
      <i/>
      <sz val="11"/>
      <name val="Times New Roman"/>
      <family val="1"/>
    </font>
    <font>
      <sz val="11"/>
      <name val="Times New Roman"/>
      <family val="1"/>
    </font>
    <font>
      <sz val="12"/>
      <name val="Times New Roman"/>
      <family val="1"/>
    </font>
  </fonts>
  <fills count="2">
    <fill>
      <patternFill patternType="none"/>
    </fill>
    <fill>
      <patternFill patternType="gray125"/>
    </fill>
  </fills>
  <borders count="49">
    <border>
      <left/>
      <right/>
      <top/>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right/>
      <top style="thin">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style="medium">
        <color indexed="64"/>
      </top>
      <bottom style="thin">
        <color indexed="64"/>
      </bottom>
      <diagonal/>
    </border>
    <border>
      <left style="medium">
        <color indexed="64"/>
      </left>
      <right/>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double">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
      <left/>
      <right/>
      <top style="medium">
        <color indexed="64"/>
      </top>
      <bottom style="thin">
        <color indexed="64"/>
      </bottom>
      <diagonal/>
    </border>
  </borders>
  <cellStyleXfs count="1">
    <xf numFmtId="0" fontId="0" fillId="0" borderId="0"/>
  </cellStyleXfs>
  <cellXfs count="136">
    <xf numFmtId="0" fontId="0" fillId="0" borderId="0" xfId="0"/>
    <xf numFmtId="0" fontId="4" fillId="0" borderId="0" xfId="0" applyFont="1" applyFill="1"/>
    <xf numFmtId="0" fontId="5" fillId="0" borderId="0" xfId="0" applyFont="1" applyFill="1"/>
    <xf numFmtId="0" fontId="6" fillId="0" borderId="0" xfId="0" applyFont="1" applyFill="1"/>
    <xf numFmtId="0" fontId="6" fillId="0" borderId="0" xfId="0" applyFont="1" applyFill="1" applyAlignment="1">
      <alignment wrapText="1"/>
    </xf>
    <xf numFmtId="0" fontId="2" fillId="0" borderId="0" xfId="0" applyFont="1" applyFill="1"/>
    <xf numFmtId="176" fontId="2" fillId="0" borderId="0" xfId="0" applyNumberFormat="1" applyFont="1" applyFill="1"/>
    <xf numFmtId="0" fontId="2" fillId="0" borderId="0" xfId="0" applyFont="1" applyFill="1" applyAlignment="1">
      <alignment vertical="center"/>
    </xf>
    <xf numFmtId="0" fontId="7" fillId="0" borderId="0" xfId="0" applyFont="1" applyFill="1"/>
    <xf numFmtId="0" fontId="3" fillId="0" borderId="0" xfId="0" applyFont="1" applyFill="1" applyBorder="1" applyAlignment="1">
      <alignment horizontal="left"/>
    </xf>
    <xf numFmtId="176" fontId="3" fillId="0" borderId="0" xfId="0" applyNumberFormat="1" applyFont="1" applyFill="1" applyBorder="1" applyAlignment="1">
      <alignment horizontal="center" vertical="center"/>
    </xf>
    <xf numFmtId="0" fontId="5" fillId="0" borderId="0" xfId="0" applyFont="1" applyFill="1" applyAlignment="1">
      <alignment horizontal="center" vertical="center"/>
    </xf>
    <xf numFmtId="0" fontId="9" fillId="0" borderId="0" xfId="0" applyFont="1" applyFill="1" applyAlignment="1">
      <alignment horizontal="centerContinuous"/>
    </xf>
    <xf numFmtId="0" fontId="10" fillId="0" borderId="0" xfId="0" applyFont="1" applyFill="1" applyAlignment="1">
      <alignment horizontal="center" vertical="center"/>
    </xf>
    <xf numFmtId="0" fontId="9" fillId="0" borderId="13" xfId="0" applyFont="1" applyFill="1" applyBorder="1" applyAlignment="1">
      <alignment horizontal="center"/>
    </xf>
    <xf numFmtId="0" fontId="9" fillId="0" borderId="14" xfId="0" applyFont="1" applyFill="1" applyBorder="1" applyAlignment="1">
      <alignment horizontal="center"/>
    </xf>
    <xf numFmtId="0" fontId="11" fillId="0" borderId="15" xfId="0" applyFont="1" applyFill="1" applyBorder="1" applyAlignment="1">
      <alignment horizontal="center" vertical="center" wrapText="1"/>
    </xf>
    <xf numFmtId="0" fontId="9" fillId="0" borderId="16" xfId="0" applyFont="1" applyFill="1" applyBorder="1" applyAlignment="1">
      <alignment horizontal="center" vertical="center" wrapText="1"/>
    </xf>
    <xf numFmtId="0" fontId="11" fillId="0" borderId="10" xfId="0" applyFont="1" applyFill="1" applyBorder="1" applyAlignment="1">
      <alignment horizontal="center" vertical="center" wrapText="1"/>
    </xf>
    <xf numFmtId="0" fontId="11" fillId="0" borderId="9" xfId="0" applyFont="1" applyFill="1" applyBorder="1" applyAlignment="1">
      <alignment horizontal="center" vertical="center" wrapText="1"/>
    </xf>
    <xf numFmtId="0" fontId="11" fillId="0" borderId="17" xfId="0" applyFont="1" applyFill="1" applyBorder="1" applyAlignment="1">
      <alignment horizontal="center" vertical="center" wrapText="1"/>
    </xf>
    <xf numFmtId="0" fontId="11" fillId="0" borderId="18" xfId="0" applyFont="1" applyFill="1" applyBorder="1" applyAlignment="1">
      <alignment horizontal="center" vertical="center" wrapText="1"/>
    </xf>
    <xf numFmtId="0" fontId="11" fillId="0" borderId="19" xfId="0" applyFont="1" applyFill="1" applyBorder="1" applyAlignment="1">
      <alignment horizontal="center" vertical="center" wrapText="1"/>
    </xf>
    <xf numFmtId="0" fontId="13" fillId="0" borderId="14" xfId="0" applyFont="1" applyFill="1" applyBorder="1"/>
    <xf numFmtId="0" fontId="14" fillId="0" borderId="0" xfId="0" applyFont="1" applyFill="1" applyBorder="1" applyAlignment="1">
      <alignment horizontal="center" vertical="center"/>
    </xf>
    <xf numFmtId="0" fontId="14" fillId="0" borderId="20" xfId="0" applyFont="1" applyFill="1" applyBorder="1" applyAlignment="1">
      <alignment horizontal="center" vertical="center"/>
    </xf>
    <xf numFmtId="0" fontId="14" fillId="0" borderId="15" xfId="0" applyFont="1" applyFill="1" applyBorder="1"/>
    <xf numFmtId="176" fontId="14" fillId="0" borderId="1" xfId="0" applyNumberFormat="1" applyFont="1" applyFill="1" applyBorder="1" applyAlignment="1">
      <alignment horizontal="center" vertical="center" wrapText="1"/>
    </xf>
    <xf numFmtId="176" fontId="14" fillId="0" borderId="21" xfId="0" applyNumberFormat="1" applyFont="1" applyFill="1" applyBorder="1" applyAlignment="1">
      <alignment horizontal="center" vertical="center"/>
    </xf>
    <xf numFmtId="176" fontId="14" fillId="0" borderId="22" xfId="0" applyNumberFormat="1" applyFont="1" applyFill="1" applyBorder="1" applyAlignment="1">
      <alignment horizontal="center" vertical="center"/>
    </xf>
    <xf numFmtId="176" fontId="14" fillId="0" borderId="2" xfId="0" applyNumberFormat="1" applyFont="1" applyFill="1" applyBorder="1" applyAlignment="1">
      <alignment horizontal="center" vertical="center"/>
    </xf>
    <xf numFmtId="176" fontId="14" fillId="0" borderId="4" xfId="0" applyNumberFormat="1" applyFont="1" applyFill="1" applyBorder="1" applyAlignment="1">
      <alignment horizontal="center" vertical="center"/>
    </xf>
    <xf numFmtId="178" fontId="14" fillId="0" borderId="1" xfId="0" applyNumberFormat="1" applyFont="1" applyFill="1" applyBorder="1" applyAlignment="1">
      <alignment horizontal="center" vertical="center"/>
    </xf>
    <xf numFmtId="0" fontId="14" fillId="0" borderId="23" xfId="0" applyFont="1" applyFill="1" applyBorder="1"/>
    <xf numFmtId="176" fontId="14" fillId="0" borderId="25" xfId="0" applyNumberFormat="1" applyFont="1" applyFill="1" applyBorder="1" applyAlignment="1">
      <alignment horizontal="center" vertical="center" wrapText="1"/>
    </xf>
    <xf numFmtId="176" fontId="14" fillId="0" borderId="26" xfId="0" applyNumberFormat="1" applyFont="1" applyFill="1" applyBorder="1" applyAlignment="1">
      <alignment horizontal="center" vertical="center"/>
    </xf>
    <xf numFmtId="176" fontId="14" fillId="0" borderId="27" xfId="0" applyNumberFormat="1" applyFont="1" applyFill="1" applyBorder="1" applyAlignment="1">
      <alignment horizontal="center" vertical="center"/>
    </xf>
    <xf numFmtId="176" fontId="14" fillId="0" borderId="24" xfId="0" applyNumberFormat="1" applyFont="1" applyFill="1" applyBorder="1" applyAlignment="1">
      <alignment horizontal="center" vertical="center"/>
    </xf>
    <xf numFmtId="176" fontId="14" fillId="0" borderId="11" xfId="0" applyNumberFormat="1" applyFont="1" applyFill="1" applyBorder="1" applyAlignment="1">
      <alignment horizontal="center" vertical="center"/>
    </xf>
    <xf numFmtId="178" fontId="14" fillId="0" borderId="47" xfId="0" applyNumberFormat="1" applyFont="1" applyFill="1" applyBorder="1" applyAlignment="1">
      <alignment horizontal="center" vertical="center"/>
    </xf>
    <xf numFmtId="178" fontId="14" fillId="0" borderId="42" xfId="0" applyNumberFormat="1" applyFont="1" applyFill="1" applyBorder="1" applyAlignment="1">
      <alignment horizontal="center" vertical="center"/>
    </xf>
    <xf numFmtId="178" fontId="14" fillId="0" borderId="25" xfId="0" applyNumberFormat="1" applyFont="1" applyFill="1" applyBorder="1" applyAlignment="1">
      <alignment horizontal="center" vertical="center"/>
    </xf>
    <xf numFmtId="0" fontId="14" fillId="0" borderId="28" xfId="0" applyFont="1" applyFill="1" applyBorder="1"/>
    <xf numFmtId="176" fontId="14" fillId="0" borderId="9" xfId="0" applyNumberFormat="1" applyFont="1" applyFill="1" applyBorder="1" applyAlignment="1">
      <alignment horizontal="center" vertical="center" wrapText="1"/>
    </xf>
    <xf numFmtId="176" fontId="14" fillId="0" borderId="17" xfId="0" applyNumberFormat="1" applyFont="1" applyFill="1" applyBorder="1" applyAlignment="1">
      <alignment horizontal="center" vertical="center"/>
    </xf>
    <xf numFmtId="176" fontId="14" fillId="0" borderId="18" xfId="0" applyNumberFormat="1" applyFont="1" applyFill="1" applyBorder="1" applyAlignment="1">
      <alignment horizontal="center" vertical="center"/>
    </xf>
    <xf numFmtId="176" fontId="14" fillId="0" borderId="19" xfId="0" applyNumberFormat="1" applyFont="1" applyFill="1" applyBorder="1" applyAlignment="1">
      <alignment horizontal="center" vertical="center"/>
    </xf>
    <xf numFmtId="176" fontId="14" fillId="0" borderId="10" xfId="0" applyNumberFormat="1" applyFont="1" applyFill="1" applyBorder="1" applyAlignment="1">
      <alignment horizontal="center" vertical="center"/>
    </xf>
    <xf numFmtId="0" fontId="13" fillId="0" borderId="1" xfId="0" applyFont="1" applyFill="1" applyBorder="1" applyAlignment="1">
      <alignment horizontal="right"/>
    </xf>
    <xf numFmtId="176" fontId="13" fillId="0" borderId="1" xfId="0" applyNumberFormat="1" applyFont="1" applyFill="1" applyBorder="1" applyAlignment="1">
      <alignment horizontal="center" vertical="center" wrapText="1"/>
    </xf>
    <xf numFmtId="176" fontId="13" fillId="0" borderId="15" xfId="0" applyNumberFormat="1" applyFont="1" applyFill="1" applyBorder="1" applyAlignment="1">
      <alignment horizontal="center" vertical="center"/>
    </xf>
    <xf numFmtId="176" fontId="13" fillId="0" borderId="3" xfId="0" applyNumberFormat="1" applyFont="1" applyFill="1" applyBorder="1" applyAlignment="1">
      <alignment horizontal="center" vertical="center"/>
    </xf>
    <xf numFmtId="177" fontId="13" fillId="0" borderId="4" xfId="0" applyNumberFormat="1" applyFont="1" applyFill="1" applyBorder="1" applyAlignment="1">
      <alignment horizontal="center" vertical="center"/>
    </xf>
    <xf numFmtId="176" fontId="13" fillId="0" borderId="4" xfId="0" applyNumberFormat="1" applyFont="1" applyFill="1" applyBorder="1" applyAlignment="1">
      <alignment horizontal="center" vertical="center"/>
    </xf>
    <xf numFmtId="178" fontId="13" fillId="0" borderId="1" xfId="0" applyNumberFormat="1" applyFont="1" applyFill="1" applyBorder="1" applyAlignment="1">
      <alignment horizontal="center" vertical="center"/>
    </xf>
    <xf numFmtId="0" fontId="9" fillId="0" borderId="9" xfId="0" applyFont="1" applyFill="1" applyBorder="1" applyAlignment="1">
      <alignment horizontal="left"/>
    </xf>
    <xf numFmtId="176" fontId="9" fillId="0" borderId="9" xfId="0" applyNumberFormat="1" applyFont="1" applyFill="1" applyBorder="1" applyAlignment="1">
      <alignment horizontal="center" vertical="center" wrapText="1"/>
    </xf>
    <xf numFmtId="178" fontId="9" fillId="0" borderId="9" xfId="0" applyNumberFormat="1" applyFont="1" applyFill="1" applyBorder="1" applyAlignment="1">
      <alignment horizontal="center" vertical="center"/>
    </xf>
    <xf numFmtId="176" fontId="14" fillId="0" borderId="0" xfId="0" applyNumberFormat="1" applyFont="1" applyFill="1" applyBorder="1" applyAlignment="1">
      <alignment horizontal="center" vertical="center"/>
    </xf>
    <xf numFmtId="176" fontId="14" fillId="0" borderId="29" xfId="0" applyNumberFormat="1" applyFont="1" applyFill="1" applyBorder="1" applyAlignment="1">
      <alignment horizontal="center" vertical="center"/>
    </xf>
    <xf numFmtId="177" fontId="14" fillId="0" borderId="21" xfId="0" applyNumberFormat="1" applyFont="1" applyFill="1" applyBorder="1" applyAlignment="1">
      <alignment horizontal="center" vertical="center"/>
    </xf>
    <xf numFmtId="177" fontId="14" fillId="0" borderId="22" xfId="0" applyNumberFormat="1" applyFont="1" applyFill="1" applyBorder="1" applyAlignment="1">
      <alignment horizontal="center" vertical="center"/>
    </xf>
    <xf numFmtId="177" fontId="14" fillId="0" borderId="35" xfId="0" applyNumberFormat="1" applyFont="1" applyFill="1" applyBorder="1" applyAlignment="1">
      <alignment horizontal="center" vertical="center"/>
    </xf>
    <xf numFmtId="177" fontId="14" fillId="0" borderId="26" xfId="0" applyNumberFormat="1" applyFont="1" applyFill="1" applyBorder="1" applyAlignment="1">
      <alignment horizontal="center" vertical="center"/>
    </xf>
    <xf numFmtId="177" fontId="14" fillId="0" borderId="27" xfId="0" applyNumberFormat="1" applyFont="1" applyFill="1" applyBorder="1" applyAlignment="1">
      <alignment horizontal="center" vertical="center"/>
    </xf>
    <xf numFmtId="177" fontId="14" fillId="0" borderId="25" xfId="0" applyNumberFormat="1" applyFont="1" applyFill="1" applyBorder="1" applyAlignment="1">
      <alignment horizontal="center" vertical="center"/>
    </xf>
    <xf numFmtId="0" fontId="14" fillId="0" borderId="30" xfId="0" applyFont="1" applyFill="1" applyBorder="1"/>
    <xf numFmtId="177" fontId="14" fillId="0" borderId="33" xfId="0" applyNumberFormat="1" applyFont="1" applyFill="1" applyBorder="1" applyAlignment="1">
      <alignment horizontal="center" vertical="center"/>
    </xf>
    <xf numFmtId="177" fontId="14" fillId="0" borderId="34" xfId="0" applyNumberFormat="1" applyFont="1" applyFill="1" applyBorder="1" applyAlignment="1">
      <alignment horizontal="center" vertical="center"/>
    </xf>
    <xf numFmtId="176" fontId="14" fillId="0" borderId="31" xfId="0" applyNumberFormat="1" applyFont="1" applyFill="1" applyBorder="1" applyAlignment="1">
      <alignment horizontal="center" vertical="center"/>
    </xf>
    <xf numFmtId="176" fontId="14" fillId="0" borderId="32" xfId="0" applyNumberFormat="1" applyFont="1" applyFill="1" applyBorder="1" applyAlignment="1">
      <alignment horizontal="center" vertical="center"/>
    </xf>
    <xf numFmtId="177" fontId="14" fillId="0" borderId="9" xfId="0" applyNumberFormat="1" applyFont="1" applyFill="1" applyBorder="1" applyAlignment="1">
      <alignment horizontal="center" vertical="center"/>
    </xf>
    <xf numFmtId="177" fontId="13" fillId="0" borderId="2" xfId="0" applyNumberFormat="1" applyFont="1" applyFill="1" applyBorder="1" applyAlignment="1">
      <alignment horizontal="center" vertical="center"/>
    </xf>
    <xf numFmtId="177" fontId="13" fillId="0" borderId="48" xfId="0" applyNumberFormat="1" applyFont="1" applyFill="1" applyBorder="1" applyAlignment="1">
      <alignment horizontal="center" vertical="center"/>
    </xf>
    <xf numFmtId="176" fontId="13" fillId="0" borderId="2" xfId="0" applyNumberFormat="1" applyFont="1" applyFill="1" applyBorder="1" applyAlignment="1">
      <alignment horizontal="center" vertical="center"/>
    </xf>
    <xf numFmtId="176" fontId="13" fillId="0" borderId="21" xfId="0" applyNumberFormat="1" applyFont="1" applyFill="1" applyBorder="1" applyAlignment="1">
      <alignment horizontal="center" vertical="center"/>
    </xf>
    <xf numFmtId="177" fontId="13" fillId="0" borderId="1" xfId="0" applyNumberFormat="1" applyFont="1" applyFill="1" applyBorder="1" applyAlignment="1">
      <alignment horizontal="center" vertical="center"/>
    </xf>
    <xf numFmtId="177" fontId="9" fillId="0" borderId="9" xfId="0" applyNumberFormat="1" applyFont="1" applyFill="1" applyBorder="1" applyAlignment="1">
      <alignment horizontal="center" vertical="center"/>
    </xf>
    <xf numFmtId="177" fontId="14" fillId="0" borderId="29" xfId="0" applyNumberFormat="1" applyFont="1" applyFill="1" applyBorder="1" applyAlignment="1">
      <alignment horizontal="center" vertical="center"/>
    </xf>
    <xf numFmtId="176" fontId="14" fillId="0" borderId="33" xfId="0" applyNumberFormat="1" applyFont="1" applyFill="1" applyBorder="1" applyAlignment="1">
      <alignment horizontal="center" vertical="center"/>
    </xf>
    <xf numFmtId="176" fontId="14" fillId="0" borderId="34" xfId="0" applyNumberFormat="1" applyFont="1" applyFill="1" applyBorder="1" applyAlignment="1">
      <alignment horizontal="center" vertical="center"/>
    </xf>
    <xf numFmtId="177" fontId="14" fillId="0" borderId="42" xfId="0" applyNumberFormat="1" applyFont="1" applyFill="1" applyBorder="1" applyAlignment="1">
      <alignment horizontal="center" vertical="center"/>
    </xf>
    <xf numFmtId="178" fontId="13" fillId="0" borderId="22" xfId="0" applyNumberFormat="1" applyFont="1" applyFill="1" applyBorder="1" applyAlignment="1">
      <alignment horizontal="center" vertical="center"/>
    </xf>
    <xf numFmtId="0" fontId="9" fillId="0" borderId="25" xfId="0" applyFont="1" applyFill="1" applyBorder="1" applyAlignment="1">
      <alignment horizontal="left" vertical="center"/>
    </xf>
    <xf numFmtId="0" fontId="13" fillId="0" borderId="28" xfId="0" applyFont="1" applyFill="1" applyBorder="1"/>
    <xf numFmtId="176" fontId="14" fillId="0" borderId="12" xfId="0" applyNumberFormat="1" applyFont="1" applyFill="1" applyBorder="1" applyAlignment="1">
      <alignment horizontal="center" vertical="center"/>
    </xf>
    <xf numFmtId="178" fontId="14" fillId="0" borderId="12" xfId="0" applyNumberFormat="1" applyFont="1" applyFill="1" applyBorder="1" applyAlignment="1">
      <alignment horizontal="center" vertical="center"/>
    </xf>
    <xf numFmtId="177" fontId="14" fillId="0" borderId="36" xfId="0" applyNumberFormat="1" applyFont="1" applyFill="1" applyBorder="1" applyAlignment="1">
      <alignment horizontal="center" vertical="center"/>
    </xf>
    <xf numFmtId="0" fontId="14" fillId="0" borderId="1" xfId="0" applyFont="1" applyFill="1" applyBorder="1"/>
    <xf numFmtId="0" fontId="14" fillId="0" borderId="25" xfId="0" applyFont="1" applyFill="1" applyBorder="1"/>
    <xf numFmtId="176" fontId="15" fillId="0" borderId="27" xfId="0" applyNumberFormat="1" applyFont="1" applyFill="1" applyBorder="1" applyAlignment="1">
      <alignment horizontal="center" vertical="center"/>
    </xf>
    <xf numFmtId="176" fontId="15" fillId="0" borderId="11" xfId="0" applyNumberFormat="1" applyFont="1" applyFill="1" applyBorder="1" applyAlignment="1">
      <alignment horizontal="center" vertical="center"/>
    </xf>
    <xf numFmtId="0" fontId="14" fillId="0" borderId="37" xfId="0" applyFont="1" applyFill="1" applyBorder="1"/>
    <xf numFmtId="177" fontId="13" fillId="0" borderId="15" xfId="0" applyNumberFormat="1" applyFont="1" applyFill="1" applyBorder="1" applyAlignment="1">
      <alignment horizontal="center" vertical="center"/>
    </xf>
    <xf numFmtId="177" fontId="13" fillId="0" borderId="3" xfId="0" applyNumberFormat="1" applyFont="1" applyFill="1" applyBorder="1" applyAlignment="1">
      <alignment horizontal="center" vertical="center"/>
    </xf>
    <xf numFmtId="177" fontId="13" fillId="0" borderId="21" xfId="0" applyNumberFormat="1" applyFont="1" applyFill="1" applyBorder="1" applyAlignment="1">
      <alignment horizontal="center" vertical="center"/>
    </xf>
    <xf numFmtId="177" fontId="14" fillId="0" borderId="1" xfId="0" applyNumberFormat="1" applyFont="1" applyFill="1" applyBorder="1" applyAlignment="1">
      <alignment horizontal="center" vertical="center"/>
    </xf>
    <xf numFmtId="177" fontId="13" fillId="0" borderId="22" xfId="0" applyNumberFormat="1" applyFont="1" applyFill="1" applyBorder="1" applyAlignment="1">
      <alignment horizontal="center" vertical="center"/>
    </xf>
    <xf numFmtId="0" fontId="13" fillId="0" borderId="15" xfId="0" applyNumberFormat="1" applyFont="1" applyFill="1" applyBorder="1" applyAlignment="1">
      <alignment horizontal="center" vertical="center"/>
    </xf>
    <xf numFmtId="0" fontId="9" fillId="0" borderId="38" xfId="0" applyFont="1" applyFill="1" applyBorder="1" applyAlignment="1">
      <alignment horizontal="left"/>
    </xf>
    <xf numFmtId="0" fontId="13" fillId="0" borderId="5" xfId="0" applyFont="1" applyFill="1" applyBorder="1" applyAlignment="1">
      <alignment horizontal="right"/>
    </xf>
    <xf numFmtId="176" fontId="13" fillId="0" borderId="7" xfId="0" applyNumberFormat="1" applyFont="1" applyFill="1" applyBorder="1" applyAlignment="1">
      <alignment horizontal="center" vertical="center"/>
    </xf>
    <xf numFmtId="177" fontId="13" fillId="0" borderId="6" xfId="0" applyNumberFormat="1" applyFont="1" applyFill="1" applyBorder="1" applyAlignment="1">
      <alignment horizontal="center" vertical="center"/>
    </xf>
    <xf numFmtId="177" fontId="13" fillId="0" borderId="8" xfId="0" applyNumberFormat="1" applyFont="1" applyFill="1" applyBorder="1" applyAlignment="1">
      <alignment horizontal="center" vertical="center"/>
    </xf>
    <xf numFmtId="177" fontId="13" fillId="0" borderId="7" xfId="0" applyNumberFormat="1" applyFont="1" applyFill="1" applyBorder="1" applyAlignment="1">
      <alignment horizontal="center" vertical="center"/>
    </xf>
    <xf numFmtId="177" fontId="13" fillId="0" borderId="5" xfId="0" applyNumberFormat="1" applyFont="1" applyFill="1" applyBorder="1" applyAlignment="1">
      <alignment horizontal="center" vertical="center"/>
    </xf>
    <xf numFmtId="176" fontId="9" fillId="0" borderId="10" xfId="0" applyNumberFormat="1" applyFont="1" applyFill="1" applyBorder="1" applyAlignment="1">
      <alignment horizontal="center" vertical="center"/>
    </xf>
    <xf numFmtId="177" fontId="14" fillId="0" borderId="4" xfId="0" applyNumberFormat="1" applyFont="1" applyFill="1" applyBorder="1" applyAlignment="1">
      <alignment horizontal="center" vertical="center"/>
    </xf>
    <xf numFmtId="177" fontId="14" fillId="0" borderId="11" xfId="0" applyNumberFormat="1" applyFont="1" applyFill="1" applyBorder="1" applyAlignment="1">
      <alignment horizontal="center" vertical="center"/>
    </xf>
    <xf numFmtId="177" fontId="14" fillId="0" borderId="10" xfId="0" applyNumberFormat="1" applyFont="1" applyFill="1" applyBorder="1" applyAlignment="1">
      <alignment horizontal="center" vertical="center"/>
    </xf>
    <xf numFmtId="177" fontId="14" fillId="0" borderId="46" xfId="0" applyNumberFormat="1" applyFont="1" applyFill="1" applyBorder="1" applyAlignment="1">
      <alignment horizontal="center" vertical="center"/>
    </xf>
    <xf numFmtId="178" fontId="14" fillId="0" borderId="4" xfId="0" applyNumberFormat="1" applyFont="1" applyFill="1" applyBorder="1" applyAlignment="1">
      <alignment horizontal="center" vertical="center"/>
    </xf>
    <xf numFmtId="178" fontId="14" fillId="0" borderId="11" xfId="0" applyNumberFormat="1" applyFont="1" applyFill="1" applyBorder="1" applyAlignment="1">
      <alignment horizontal="center" vertical="center"/>
    </xf>
    <xf numFmtId="178" fontId="14" fillId="0" borderId="10" xfId="0" applyNumberFormat="1" applyFont="1" applyFill="1" applyBorder="1" applyAlignment="1">
      <alignment horizontal="center" vertical="center"/>
    </xf>
    <xf numFmtId="178" fontId="14" fillId="0" borderId="32" xfId="0" applyNumberFormat="1" applyFont="1" applyFill="1" applyBorder="1" applyAlignment="1">
      <alignment horizontal="center" vertical="center"/>
    </xf>
    <xf numFmtId="0" fontId="2" fillId="0" borderId="0" xfId="0" applyFont="1" applyFill="1" applyAlignment="1">
      <alignment horizontal="left" vertical="top" wrapText="1"/>
    </xf>
    <xf numFmtId="0" fontId="2" fillId="0" borderId="0" xfId="0" applyFont="1" applyFill="1" applyAlignment="1">
      <alignment horizontal="left" vertical="top"/>
    </xf>
    <xf numFmtId="176" fontId="9" fillId="0" borderId="9" xfId="0" applyNumberFormat="1" applyFont="1" applyFill="1" applyBorder="1" applyAlignment="1">
      <alignment horizontal="center" vertical="center"/>
    </xf>
    <xf numFmtId="177" fontId="9" fillId="0" borderId="9" xfId="0" applyNumberFormat="1" applyFont="1" applyFill="1" applyBorder="1" applyAlignment="1">
      <alignment horizontal="center" vertical="center"/>
    </xf>
    <xf numFmtId="178" fontId="9" fillId="0" borderId="9" xfId="0" applyNumberFormat="1" applyFont="1" applyFill="1" applyBorder="1" applyAlignment="1">
      <alignment horizontal="center" vertical="center"/>
    </xf>
    <xf numFmtId="177" fontId="9" fillId="0" borderId="28" xfId="0" applyNumberFormat="1" applyFont="1" applyFill="1" applyBorder="1" applyAlignment="1">
      <alignment horizontal="center" vertical="center"/>
    </xf>
    <xf numFmtId="177" fontId="9" fillId="0" borderId="12" xfId="0" applyNumberFormat="1" applyFont="1" applyFill="1" applyBorder="1" applyAlignment="1">
      <alignment horizontal="center" vertical="center"/>
    </xf>
    <xf numFmtId="177" fontId="9" fillId="0" borderId="36" xfId="0" applyNumberFormat="1" applyFont="1" applyFill="1" applyBorder="1" applyAlignment="1">
      <alignment horizontal="center" vertical="center"/>
    </xf>
    <xf numFmtId="0" fontId="8" fillId="0" borderId="0" xfId="0" applyFont="1" applyFill="1" applyAlignment="1">
      <alignment horizontal="center" vertical="top"/>
    </xf>
    <xf numFmtId="0" fontId="8" fillId="0" borderId="0" xfId="0" applyFont="1" applyFill="1" applyAlignment="1">
      <alignment horizontal="center"/>
    </xf>
    <xf numFmtId="0" fontId="11" fillId="0" borderId="39" xfId="0" applyFont="1" applyFill="1" applyBorder="1" applyAlignment="1">
      <alignment horizontal="center" vertical="center"/>
    </xf>
    <xf numFmtId="0" fontId="11" fillId="0" borderId="40" xfId="0" applyFont="1" applyFill="1" applyBorder="1" applyAlignment="1">
      <alignment horizontal="center" vertical="center"/>
    </xf>
    <xf numFmtId="0" fontId="11" fillId="0" borderId="41" xfId="0" applyFont="1" applyFill="1" applyBorder="1" applyAlignment="1">
      <alignment horizontal="center" vertical="center"/>
    </xf>
    <xf numFmtId="0" fontId="11" fillId="0" borderId="35" xfId="0" applyFont="1" applyFill="1" applyBorder="1" applyAlignment="1">
      <alignment horizontal="center" vertical="center"/>
    </xf>
    <xf numFmtId="0" fontId="12" fillId="0" borderId="42" xfId="0" applyFont="1" applyFill="1" applyBorder="1" applyAlignment="1">
      <alignment horizontal="center" vertical="center"/>
    </xf>
    <xf numFmtId="0" fontId="12" fillId="0" borderId="43" xfId="0" applyFont="1" applyFill="1" applyBorder="1" applyAlignment="1">
      <alignment horizontal="center" vertical="center"/>
    </xf>
    <xf numFmtId="0" fontId="11" fillId="0" borderId="13" xfId="0" applyFont="1" applyFill="1" applyBorder="1" applyAlignment="1">
      <alignment horizontal="center" vertical="center"/>
    </xf>
    <xf numFmtId="0" fontId="12" fillId="0" borderId="44" xfId="0" applyFont="1" applyFill="1" applyBorder="1" applyAlignment="1">
      <alignment horizontal="center" vertical="center"/>
    </xf>
    <xf numFmtId="0" fontId="12" fillId="0" borderId="45" xfId="0" applyFont="1" applyFill="1" applyBorder="1" applyAlignment="1">
      <alignment horizontal="center" vertical="center"/>
    </xf>
    <xf numFmtId="0" fontId="11" fillId="0" borderId="2" xfId="0" applyFont="1" applyFill="1" applyBorder="1" applyAlignment="1">
      <alignment horizontal="center" vertical="center" wrapText="1"/>
    </xf>
    <xf numFmtId="0" fontId="12" fillId="0" borderId="4" xfId="0" applyFont="1" applyFill="1" applyBorder="1" applyAlignment="1">
      <alignment horizontal="center" vertical="center"/>
    </xf>
  </cellXfs>
  <cellStyles count="1">
    <cellStyle name="一般"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4"/>
  <sheetViews>
    <sheetView tabSelected="1" view="pageBreakPreview" zoomScaleNormal="106" zoomScaleSheetLayoutView="100" workbookViewId="0">
      <pane ySplit="6" topLeftCell="A7" activePane="bottomLeft" state="frozen"/>
      <selection pane="bottomLeft" activeCell="M6" sqref="M6"/>
    </sheetView>
  </sheetViews>
  <sheetFormatPr defaultColWidth="9" defaultRowHeight="15.75"/>
  <cols>
    <col min="1" max="1" width="15.625" style="5" customWidth="1"/>
    <col min="2" max="2" width="10.875" style="11" customWidth="1"/>
    <col min="3" max="3" width="8.75" style="11" customWidth="1"/>
    <col min="4" max="4" width="8.375" style="11" customWidth="1"/>
    <col min="5" max="5" width="8.125" style="11" customWidth="1"/>
    <col min="6" max="6" width="9.5" style="11" customWidth="1"/>
    <col min="7" max="7" width="9.125" style="11" customWidth="1"/>
    <col min="8" max="8" width="11.125" style="11" customWidth="1"/>
    <col min="9" max="16384" width="9" style="2"/>
  </cols>
  <sheetData>
    <row r="1" spans="1:8" s="1" customFormat="1" ht="18.75">
      <c r="A1" s="123" t="s">
        <v>42</v>
      </c>
      <c r="B1" s="123"/>
      <c r="C1" s="123"/>
      <c r="D1" s="123"/>
      <c r="E1" s="123"/>
      <c r="F1" s="123"/>
      <c r="G1" s="123"/>
      <c r="H1" s="123"/>
    </row>
    <row r="2" spans="1:8" s="1" customFormat="1" ht="18.75">
      <c r="A2" s="124" t="s">
        <v>41</v>
      </c>
      <c r="B2" s="124"/>
      <c r="C2" s="124"/>
      <c r="D2" s="124"/>
      <c r="E2" s="124"/>
      <c r="F2" s="124"/>
      <c r="G2" s="124"/>
      <c r="H2" s="124"/>
    </row>
    <row r="3" spans="1:8" ht="17.25" thickBot="1">
      <c r="A3" s="12"/>
      <c r="B3" s="13"/>
      <c r="C3" s="13"/>
      <c r="D3" s="13"/>
      <c r="E3" s="13"/>
      <c r="F3" s="13"/>
      <c r="G3" s="13"/>
      <c r="H3" s="13"/>
    </row>
    <row r="4" spans="1:8" s="3" customFormat="1" ht="15" thickBot="1">
      <c r="A4" s="14"/>
      <c r="B4" s="125" t="s">
        <v>13</v>
      </c>
      <c r="C4" s="126"/>
      <c r="D4" s="126"/>
      <c r="E4" s="126"/>
      <c r="F4" s="126"/>
      <c r="G4" s="127"/>
      <c r="H4" s="128" t="s">
        <v>14</v>
      </c>
    </row>
    <row r="5" spans="1:8" s="3" customFormat="1" ht="25.5">
      <c r="A5" s="15"/>
      <c r="B5" s="16" t="s">
        <v>27</v>
      </c>
      <c r="C5" s="131" t="s">
        <v>15</v>
      </c>
      <c r="D5" s="132"/>
      <c r="E5" s="133"/>
      <c r="F5" s="134" t="s">
        <v>16</v>
      </c>
      <c r="G5" s="135"/>
      <c r="H5" s="129"/>
    </row>
    <row r="6" spans="1:8" s="4" customFormat="1" ht="66.599999999999994" customHeight="1" thickBot="1">
      <c r="A6" s="17"/>
      <c r="B6" s="19" t="s">
        <v>35</v>
      </c>
      <c r="C6" s="20" t="s">
        <v>35</v>
      </c>
      <c r="D6" s="21" t="s">
        <v>28</v>
      </c>
      <c r="E6" s="18" t="s">
        <v>36</v>
      </c>
      <c r="F6" s="22" t="s">
        <v>40</v>
      </c>
      <c r="G6" s="18" t="s">
        <v>28</v>
      </c>
      <c r="H6" s="130"/>
    </row>
    <row r="7" spans="1:8" s="5" customFormat="1" thickBot="1">
      <c r="A7" s="23" t="s">
        <v>1</v>
      </c>
      <c r="B7" s="24"/>
      <c r="C7" s="24"/>
      <c r="D7" s="24"/>
      <c r="E7" s="24"/>
      <c r="F7" s="24"/>
      <c r="G7" s="24"/>
      <c r="H7" s="25"/>
    </row>
    <row r="8" spans="1:8" s="5" customFormat="1" ht="15">
      <c r="A8" s="26" t="s">
        <v>17</v>
      </c>
      <c r="B8" s="27">
        <v>0</v>
      </c>
      <c r="C8" s="28">
        <v>117</v>
      </c>
      <c r="D8" s="29">
        <v>8</v>
      </c>
      <c r="E8" s="107">
        <v>3501</v>
      </c>
      <c r="F8" s="30">
        <v>0</v>
      </c>
      <c r="G8" s="31">
        <v>74</v>
      </c>
      <c r="H8" s="32">
        <f>SUM(B8:G8)</f>
        <v>3700</v>
      </c>
    </row>
    <row r="9" spans="1:8" s="5" customFormat="1" ht="15">
      <c r="A9" s="33" t="s">
        <v>18</v>
      </c>
      <c r="B9" s="34">
        <v>0</v>
      </c>
      <c r="C9" s="35">
        <v>140</v>
      </c>
      <c r="D9" s="36">
        <v>3</v>
      </c>
      <c r="E9" s="108">
        <v>1398</v>
      </c>
      <c r="F9" s="37">
        <v>65</v>
      </c>
      <c r="G9" s="38">
        <v>30</v>
      </c>
      <c r="H9" s="39">
        <f>SUM(B9:G9)</f>
        <v>1636</v>
      </c>
    </row>
    <row r="10" spans="1:8" s="5" customFormat="1" ht="15">
      <c r="A10" s="33" t="s">
        <v>2</v>
      </c>
      <c r="B10" s="34">
        <v>21</v>
      </c>
      <c r="C10" s="35">
        <v>20</v>
      </c>
      <c r="D10" s="36">
        <v>11</v>
      </c>
      <c r="E10" s="108">
        <v>1454</v>
      </c>
      <c r="F10" s="37">
        <v>0</v>
      </c>
      <c r="G10" s="38">
        <v>97</v>
      </c>
      <c r="H10" s="40">
        <f>SUM(B10:G10)</f>
        <v>1603</v>
      </c>
    </row>
    <row r="11" spans="1:8" s="5" customFormat="1" ht="15">
      <c r="A11" s="33" t="s">
        <v>0</v>
      </c>
      <c r="B11" s="34">
        <v>0</v>
      </c>
      <c r="C11" s="35">
        <v>0</v>
      </c>
      <c r="D11" s="36">
        <v>7</v>
      </c>
      <c r="E11" s="108">
        <v>344</v>
      </c>
      <c r="F11" s="37">
        <v>0</v>
      </c>
      <c r="G11" s="38">
        <v>65</v>
      </c>
      <c r="H11" s="41">
        <f>SUM(B11:G11)</f>
        <v>416</v>
      </c>
    </row>
    <row r="12" spans="1:8" s="5" customFormat="1" thickBot="1">
      <c r="A12" s="42" t="s">
        <v>19</v>
      </c>
      <c r="B12" s="43">
        <v>74</v>
      </c>
      <c r="C12" s="44">
        <v>381</v>
      </c>
      <c r="D12" s="45">
        <v>0</v>
      </c>
      <c r="E12" s="109">
        <v>1437</v>
      </c>
      <c r="F12" s="46">
        <v>92</v>
      </c>
      <c r="G12" s="47">
        <v>0</v>
      </c>
      <c r="H12" s="39">
        <f>SUM(B12:G12)</f>
        <v>1984</v>
      </c>
    </row>
    <row r="13" spans="1:8" s="5" customFormat="1" ht="15">
      <c r="A13" s="48" t="s">
        <v>3</v>
      </c>
      <c r="B13" s="49" t="s">
        <v>38</v>
      </c>
      <c r="C13" s="50">
        <f>SUM(C8:C12)</f>
        <v>658</v>
      </c>
      <c r="D13" s="51">
        <f>SUM(D8:D12)</f>
        <v>29</v>
      </c>
      <c r="E13" s="52">
        <f>SUM(E8:E12)</f>
        <v>8134</v>
      </c>
      <c r="F13" s="50">
        <f>SUM(F8:F12)</f>
        <v>157</v>
      </c>
      <c r="G13" s="53">
        <f>SUM(G8:G12)</f>
        <v>266</v>
      </c>
      <c r="H13" s="54" t="s">
        <v>38</v>
      </c>
    </row>
    <row r="14" spans="1:8" s="5" customFormat="1" thickBot="1">
      <c r="A14" s="55" t="s">
        <v>34</v>
      </c>
      <c r="B14" s="56">
        <f>SUM(B8:B12)</f>
        <v>95</v>
      </c>
      <c r="C14" s="118">
        <f>SUM(C13:E13)</f>
        <v>8821</v>
      </c>
      <c r="D14" s="118"/>
      <c r="E14" s="118"/>
      <c r="F14" s="117">
        <f>SUM(F13:G13)</f>
        <v>423</v>
      </c>
      <c r="G14" s="117"/>
      <c r="H14" s="57">
        <f>SUM(H8:H12)</f>
        <v>9339</v>
      </c>
    </row>
    <row r="15" spans="1:8" s="5" customFormat="1" thickBot="1">
      <c r="A15" s="23" t="s">
        <v>4</v>
      </c>
      <c r="B15" s="58"/>
      <c r="C15" s="58"/>
      <c r="D15" s="58"/>
      <c r="E15" s="58"/>
      <c r="F15" s="58"/>
      <c r="G15" s="58"/>
      <c r="H15" s="59"/>
    </row>
    <row r="16" spans="1:8" s="5" customFormat="1" ht="15">
      <c r="A16" s="26" t="s">
        <v>5</v>
      </c>
      <c r="B16" s="27">
        <v>48</v>
      </c>
      <c r="C16" s="60">
        <v>126</v>
      </c>
      <c r="D16" s="61">
        <v>29</v>
      </c>
      <c r="E16" s="107">
        <v>3594</v>
      </c>
      <c r="F16" s="30">
        <v>0</v>
      </c>
      <c r="G16" s="31">
        <v>260</v>
      </c>
      <c r="H16" s="62">
        <f>SUM(B16:G16)</f>
        <v>4057</v>
      </c>
    </row>
    <row r="17" spans="1:9" s="5" customFormat="1" ht="15">
      <c r="A17" s="33" t="s">
        <v>6</v>
      </c>
      <c r="B17" s="34">
        <v>0</v>
      </c>
      <c r="C17" s="63">
        <v>147</v>
      </c>
      <c r="D17" s="64">
        <v>4</v>
      </c>
      <c r="E17" s="108">
        <v>3844</v>
      </c>
      <c r="F17" s="37">
        <v>0</v>
      </c>
      <c r="G17" s="38">
        <v>34</v>
      </c>
      <c r="H17" s="65">
        <f>SUM(B17:G17)</f>
        <v>4029</v>
      </c>
    </row>
    <row r="18" spans="1:9" s="5" customFormat="1" ht="17.25" customHeight="1" thickBot="1">
      <c r="A18" s="66" t="s">
        <v>37</v>
      </c>
      <c r="B18" s="43">
        <v>0</v>
      </c>
      <c r="C18" s="67">
        <f>183</f>
        <v>183</v>
      </c>
      <c r="D18" s="68">
        <v>19</v>
      </c>
      <c r="E18" s="110">
        <v>3361</v>
      </c>
      <c r="F18" s="69">
        <v>0</v>
      </c>
      <c r="G18" s="70">
        <v>173</v>
      </c>
      <c r="H18" s="71">
        <f>SUM(B18:G18)</f>
        <v>3736</v>
      </c>
      <c r="I18" s="6"/>
    </row>
    <row r="19" spans="1:9" s="5" customFormat="1" ht="15">
      <c r="A19" s="48" t="s">
        <v>3</v>
      </c>
      <c r="B19" s="49" t="s">
        <v>38</v>
      </c>
      <c r="C19" s="72">
        <f>SUM(C16:C18)</f>
        <v>456</v>
      </c>
      <c r="D19" s="73">
        <f>SUM(D16:D18)</f>
        <v>52</v>
      </c>
      <c r="E19" s="52">
        <f>SUM(E16:E18)</f>
        <v>10799</v>
      </c>
      <c r="F19" s="74">
        <f>SUM(F16:F18)</f>
        <v>0</v>
      </c>
      <c r="G19" s="75">
        <f>SUM(G16:G18)</f>
        <v>467</v>
      </c>
      <c r="H19" s="76" t="s">
        <v>38</v>
      </c>
    </row>
    <row r="20" spans="1:9" s="5" customFormat="1" thickBot="1">
      <c r="A20" s="55" t="s">
        <v>29</v>
      </c>
      <c r="B20" s="56">
        <f>SUM(B16:B18)</f>
        <v>48</v>
      </c>
      <c r="C20" s="118">
        <f>SUM(C19:E19)</f>
        <v>11307</v>
      </c>
      <c r="D20" s="118"/>
      <c r="E20" s="118"/>
      <c r="F20" s="117">
        <f>SUM(F19:G19)</f>
        <v>467</v>
      </c>
      <c r="G20" s="117"/>
      <c r="H20" s="77">
        <f>SUM(H16:H18)</f>
        <v>11822</v>
      </c>
    </row>
    <row r="21" spans="1:9" s="5" customFormat="1" thickBot="1">
      <c r="A21" s="23" t="s">
        <v>7</v>
      </c>
      <c r="B21" s="58"/>
      <c r="C21" s="58"/>
      <c r="D21" s="58"/>
      <c r="E21" s="58"/>
      <c r="F21" s="58"/>
      <c r="G21" s="58"/>
      <c r="H21" s="78"/>
    </row>
    <row r="22" spans="1:9" s="5" customFormat="1" ht="15">
      <c r="A22" s="26" t="s">
        <v>20</v>
      </c>
      <c r="B22" s="27">
        <v>0</v>
      </c>
      <c r="C22" s="28">
        <v>90</v>
      </c>
      <c r="D22" s="29">
        <v>15</v>
      </c>
      <c r="E22" s="111">
        <v>1650</v>
      </c>
      <c r="F22" s="30">
        <v>0</v>
      </c>
      <c r="G22" s="31">
        <v>141</v>
      </c>
      <c r="H22" s="62">
        <f>SUM(B22:G22)</f>
        <v>1896</v>
      </c>
    </row>
    <row r="23" spans="1:9" s="5" customFormat="1" ht="15">
      <c r="A23" s="33" t="s">
        <v>21</v>
      </c>
      <c r="B23" s="34">
        <v>0</v>
      </c>
      <c r="C23" s="35">
        <f>505+16</f>
        <v>521</v>
      </c>
      <c r="D23" s="36">
        <v>1</v>
      </c>
      <c r="E23" s="112">
        <v>328</v>
      </c>
      <c r="F23" s="37">
        <v>98</v>
      </c>
      <c r="G23" s="38">
        <v>7</v>
      </c>
      <c r="H23" s="65">
        <f>SUM(B23:G23)</f>
        <v>955</v>
      </c>
    </row>
    <row r="24" spans="1:9" s="5" customFormat="1" thickBot="1">
      <c r="A24" s="66" t="s">
        <v>8</v>
      </c>
      <c r="B24" s="43">
        <v>0</v>
      </c>
      <c r="C24" s="79">
        <v>335</v>
      </c>
      <c r="D24" s="80">
        <v>18</v>
      </c>
      <c r="E24" s="113">
        <v>2639</v>
      </c>
      <c r="F24" s="46">
        <v>0</v>
      </c>
      <c r="G24" s="47">
        <v>170</v>
      </c>
      <c r="H24" s="81">
        <f>SUM(B24:G24)</f>
        <v>3162</v>
      </c>
    </row>
    <row r="25" spans="1:9" s="5" customFormat="1" ht="15">
      <c r="A25" s="48" t="s">
        <v>3</v>
      </c>
      <c r="B25" s="49" t="s">
        <v>38</v>
      </c>
      <c r="C25" s="51">
        <f>SUM(C22:C24)</f>
        <v>946</v>
      </c>
      <c r="D25" s="51">
        <f>SUM(D22:D24)</f>
        <v>34</v>
      </c>
      <c r="E25" s="82">
        <f>SUM(E22:E24)</f>
        <v>4617</v>
      </c>
      <c r="F25" s="74">
        <f>SUM(F22:F24)</f>
        <v>98</v>
      </c>
      <c r="G25" s="51">
        <f>SUM(G22:G24)</f>
        <v>318</v>
      </c>
      <c r="H25" s="76" t="s">
        <v>38</v>
      </c>
    </row>
    <row r="26" spans="1:9" s="7" customFormat="1" thickBot="1">
      <c r="A26" s="83" t="s">
        <v>30</v>
      </c>
      <c r="B26" s="56">
        <f>SUM(B22:B24)</f>
        <v>0</v>
      </c>
      <c r="C26" s="119">
        <f>SUM(C25:E25)</f>
        <v>5597</v>
      </c>
      <c r="D26" s="119"/>
      <c r="E26" s="119"/>
      <c r="F26" s="117">
        <f>SUM(F25:G25)</f>
        <v>416</v>
      </c>
      <c r="G26" s="117"/>
      <c r="H26" s="77">
        <f>SUM(H22:H24)</f>
        <v>6013</v>
      </c>
    </row>
    <row r="27" spans="1:9" s="5" customFormat="1" thickBot="1">
      <c r="A27" s="84" t="s">
        <v>9</v>
      </c>
      <c r="B27" s="85"/>
      <c r="C27" s="85"/>
      <c r="D27" s="86"/>
      <c r="E27" s="85"/>
      <c r="F27" s="85"/>
      <c r="G27" s="85"/>
      <c r="H27" s="87"/>
    </row>
    <row r="28" spans="1:9" s="5" customFormat="1" ht="15">
      <c r="A28" s="88" t="s">
        <v>10</v>
      </c>
      <c r="B28" s="27">
        <v>70</v>
      </c>
      <c r="C28" s="28">
        <f>187+22+1</f>
        <v>210</v>
      </c>
      <c r="D28" s="29">
        <v>57</v>
      </c>
      <c r="E28" s="111">
        <v>1413</v>
      </c>
      <c r="F28" s="30">
        <v>30</v>
      </c>
      <c r="G28" s="31">
        <v>152</v>
      </c>
      <c r="H28" s="62">
        <f>SUM(B28:G28)</f>
        <v>1932</v>
      </c>
    </row>
    <row r="29" spans="1:9" s="5" customFormat="1" ht="15">
      <c r="A29" s="89" t="s">
        <v>22</v>
      </c>
      <c r="B29" s="34">
        <v>0</v>
      </c>
      <c r="C29" s="35">
        <v>0</v>
      </c>
      <c r="D29" s="36">
        <v>2</v>
      </c>
      <c r="E29" s="112">
        <v>1928</v>
      </c>
      <c r="F29" s="37">
        <v>0</v>
      </c>
      <c r="G29" s="38">
        <v>18</v>
      </c>
      <c r="H29" s="65">
        <f>SUM(B29:G29)</f>
        <v>1948</v>
      </c>
    </row>
    <row r="30" spans="1:9" s="5" customFormat="1">
      <c r="A30" s="89" t="s">
        <v>23</v>
      </c>
      <c r="B30" s="34">
        <v>90</v>
      </c>
      <c r="C30" s="35">
        <v>126</v>
      </c>
      <c r="D30" s="90">
        <v>515</v>
      </c>
      <c r="E30" s="112">
        <v>1880</v>
      </c>
      <c r="F30" s="37">
        <v>5</v>
      </c>
      <c r="G30" s="91">
        <v>131</v>
      </c>
      <c r="H30" s="81">
        <f>SUM(B30:G30)</f>
        <v>2747</v>
      </c>
    </row>
    <row r="31" spans="1:9" s="5" customFormat="1" thickBot="1">
      <c r="A31" s="92" t="s">
        <v>24</v>
      </c>
      <c r="B31" s="43">
        <v>60</v>
      </c>
      <c r="C31" s="79">
        <v>153</v>
      </c>
      <c r="D31" s="80">
        <v>8</v>
      </c>
      <c r="E31" s="114">
        <v>2825</v>
      </c>
      <c r="F31" s="69">
        <v>0</v>
      </c>
      <c r="G31" s="70">
        <v>74</v>
      </c>
      <c r="H31" s="71">
        <f>SUM(B31:G31)</f>
        <v>3120</v>
      </c>
    </row>
    <row r="32" spans="1:9" s="5" customFormat="1" ht="15">
      <c r="A32" s="48" t="s">
        <v>3</v>
      </c>
      <c r="B32" s="49" t="s">
        <v>38</v>
      </c>
      <c r="C32" s="93">
        <f>SUM(C28:C31)</f>
        <v>489</v>
      </c>
      <c r="D32" s="94">
        <f>SUM(D28:D31)</f>
        <v>582</v>
      </c>
      <c r="E32" s="95">
        <f>SUM(E28:E31)</f>
        <v>8046</v>
      </c>
      <c r="F32" s="93">
        <f>SUM(F28:F31)</f>
        <v>35</v>
      </c>
      <c r="G32" s="52">
        <f>SUM(G28:G31)</f>
        <v>375</v>
      </c>
      <c r="H32" s="76" t="s">
        <v>38</v>
      </c>
    </row>
    <row r="33" spans="1:9" s="5" customFormat="1" thickBot="1">
      <c r="A33" s="55" t="s">
        <v>31</v>
      </c>
      <c r="B33" s="56">
        <f>SUM(B28:B31)</f>
        <v>220</v>
      </c>
      <c r="C33" s="118">
        <f>SUM(C32:E32)</f>
        <v>9117</v>
      </c>
      <c r="D33" s="118"/>
      <c r="E33" s="118"/>
      <c r="F33" s="118">
        <f>SUM(F32:G32)</f>
        <v>410</v>
      </c>
      <c r="G33" s="118"/>
      <c r="H33" s="77">
        <f>SUM(H28:H31)</f>
        <v>9747</v>
      </c>
    </row>
    <row r="34" spans="1:9" s="5" customFormat="1" thickBot="1">
      <c r="A34" s="23" t="s">
        <v>11</v>
      </c>
      <c r="B34" s="58"/>
      <c r="C34" s="58"/>
      <c r="D34" s="58"/>
      <c r="E34" s="58"/>
      <c r="F34" s="58"/>
      <c r="G34" s="58"/>
      <c r="H34" s="78"/>
    </row>
    <row r="35" spans="1:9" s="5" customFormat="1" ht="15">
      <c r="A35" s="26" t="s">
        <v>12</v>
      </c>
      <c r="B35" s="27">
        <v>51</v>
      </c>
      <c r="C35" s="28">
        <v>359</v>
      </c>
      <c r="D35" s="29">
        <v>4</v>
      </c>
      <c r="E35" s="107">
        <v>2645</v>
      </c>
      <c r="F35" s="30">
        <v>0</v>
      </c>
      <c r="G35" s="31">
        <v>36</v>
      </c>
      <c r="H35" s="96">
        <f>SUM(B35:G35)</f>
        <v>3095</v>
      </c>
    </row>
    <row r="36" spans="1:9" s="5" customFormat="1" ht="15">
      <c r="A36" s="33" t="s">
        <v>25</v>
      </c>
      <c r="B36" s="34">
        <v>0</v>
      </c>
      <c r="C36" s="35">
        <v>92</v>
      </c>
      <c r="D36" s="36">
        <v>6</v>
      </c>
      <c r="E36" s="108">
        <v>2104</v>
      </c>
      <c r="F36" s="37">
        <v>0</v>
      </c>
      <c r="G36" s="38">
        <v>59</v>
      </c>
      <c r="H36" s="81">
        <f>SUM(B36:G36)</f>
        <v>2261</v>
      </c>
    </row>
    <row r="37" spans="1:9" s="5" customFormat="1" thickBot="1">
      <c r="A37" s="66" t="s">
        <v>26</v>
      </c>
      <c r="B37" s="43">
        <v>0</v>
      </c>
      <c r="C37" s="79">
        <v>75</v>
      </c>
      <c r="D37" s="80">
        <v>29</v>
      </c>
      <c r="E37" s="109">
        <v>4013</v>
      </c>
      <c r="F37" s="46">
        <v>0</v>
      </c>
      <c r="G37" s="47">
        <v>257</v>
      </c>
      <c r="H37" s="71">
        <f>SUM(B37:G37)</f>
        <v>4374</v>
      </c>
    </row>
    <row r="38" spans="1:9" s="5" customFormat="1" ht="15">
      <c r="A38" s="48" t="s">
        <v>3</v>
      </c>
      <c r="B38" s="49" t="s">
        <v>38</v>
      </c>
      <c r="C38" s="93">
        <f>SUM(C35:C37)</f>
        <v>526</v>
      </c>
      <c r="D38" s="97">
        <f>SUM(D35:D37)</f>
        <v>39</v>
      </c>
      <c r="E38" s="97">
        <f>SUM(E35:E37)</f>
        <v>8762</v>
      </c>
      <c r="F38" s="98">
        <f>SUM(F35:F37)</f>
        <v>0</v>
      </c>
      <c r="G38" s="52">
        <f>SUM(G35:G37)</f>
        <v>352</v>
      </c>
      <c r="H38" s="76" t="s">
        <v>38</v>
      </c>
    </row>
    <row r="39" spans="1:9" s="5" customFormat="1" thickBot="1">
      <c r="A39" s="99" t="s">
        <v>32</v>
      </c>
      <c r="B39" s="56">
        <f>SUM(B35:B37)</f>
        <v>51</v>
      </c>
      <c r="C39" s="118">
        <f>SUM(C38:E38)</f>
        <v>9327</v>
      </c>
      <c r="D39" s="118"/>
      <c r="E39" s="118"/>
      <c r="F39" s="118">
        <f>SUM(F38:G38)</f>
        <v>352</v>
      </c>
      <c r="G39" s="118"/>
      <c r="H39" s="77">
        <f>SUM(H35:H37)</f>
        <v>9730</v>
      </c>
    </row>
    <row r="40" spans="1:9" s="8" customFormat="1" thickTop="1">
      <c r="A40" s="100" t="s">
        <v>3</v>
      </c>
      <c r="B40" s="101" t="s">
        <v>38</v>
      </c>
      <c r="C40" s="102">
        <f>SUM(C13,C19,C25,C32,C38)</f>
        <v>3075</v>
      </c>
      <c r="D40" s="103">
        <f>SUM(D13,D19,D25,D32,D38)</f>
        <v>736</v>
      </c>
      <c r="E40" s="104">
        <f>SUM(E13,E19,E25,E32,E38)</f>
        <v>40358</v>
      </c>
      <c r="F40" s="102">
        <f>SUM(F13,F19,F25,F32,F38)</f>
        <v>290</v>
      </c>
      <c r="G40" s="104">
        <f>SUM(G13,G19,G25,G32,G38)</f>
        <v>1778</v>
      </c>
      <c r="H40" s="105" t="s">
        <v>38</v>
      </c>
    </row>
    <row r="41" spans="1:9" s="5" customFormat="1" thickBot="1">
      <c r="A41" s="55" t="s">
        <v>33</v>
      </c>
      <c r="B41" s="106">
        <f>SUM(B14,B20,B26,B33,B39)</f>
        <v>414</v>
      </c>
      <c r="C41" s="120">
        <f>SUM(C40:E40)</f>
        <v>44169</v>
      </c>
      <c r="D41" s="121"/>
      <c r="E41" s="122"/>
      <c r="F41" s="120">
        <f>SUM(F40:G40)</f>
        <v>2068</v>
      </c>
      <c r="G41" s="122"/>
      <c r="H41" s="77">
        <f>SUM(H14,H20,H26,H33,H39)</f>
        <v>46651</v>
      </c>
      <c r="I41" s="6"/>
    </row>
    <row r="42" spans="1:9" s="5" customFormat="1" ht="9" customHeight="1">
      <c r="A42" s="9"/>
      <c r="B42" s="10"/>
      <c r="C42" s="10"/>
      <c r="D42" s="10"/>
      <c r="E42" s="10"/>
      <c r="F42" s="10"/>
      <c r="G42" s="10"/>
      <c r="H42" s="10"/>
    </row>
    <row r="43" spans="1:9" s="5" customFormat="1" ht="50.25" customHeight="1">
      <c r="A43" s="115" t="s">
        <v>43</v>
      </c>
      <c r="B43" s="116"/>
      <c r="C43" s="116"/>
      <c r="D43" s="116"/>
      <c r="E43" s="116"/>
      <c r="F43" s="116"/>
      <c r="G43" s="116"/>
      <c r="H43" s="116"/>
    </row>
    <row r="44" spans="1:9" ht="30.75" customHeight="1">
      <c r="A44" s="115" t="s">
        <v>39</v>
      </c>
      <c r="B44" s="115"/>
      <c r="C44" s="115"/>
      <c r="D44" s="115"/>
      <c r="E44" s="115"/>
      <c r="F44" s="115"/>
      <c r="G44" s="115"/>
      <c r="H44" s="115"/>
    </row>
  </sheetData>
  <mergeCells count="20">
    <mergeCell ref="A44:H44"/>
    <mergeCell ref="C41:E41"/>
    <mergeCell ref="F41:G41"/>
    <mergeCell ref="A1:H1"/>
    <mergeCell ref="A2:H2"/>
    <mergeCell ref="B4:G4"/>
    <mergeCell ref="H4:H6"/>
    <mergeCell ref="C5:E5"/>
    <mergeCell ref="F5:G5"/>
    <mergeCell ref="C14:E14"/>
    <mergeCell ref="F14:G14"/>
    <mergeCell ref="C20:E20"/>
    <mergeCell ref="A43:H43"/>
    <mergeCell ref="F20:G20"/>
    <mergeCell ref="C39:E39"/>
    <mergeCell ref="F39:G39"/>
    <mergeCell ref="C26:E26"/>
    <mergeCell ref="F26:G26"/>
    <mergeCell ref="C33:E33"/>
    <mergeCell ref="F33:G33"/>
  </mergeCells>
  <phoneticPr fontId="1" type="noConversion"/>
  <printOptions horizontalCentered="1"/>
  <pageMargins left="0.35433070866141736" right="0.35433070866141736" top="0.59055118110236227" bottom="0.59055118110236227" header="0.31496062992125984" footer="0.11811023622047245"/>
  <pageSetup paperSize="9" orientation="portrait" cellComments="atEnd" r:id="rId1"/>
  <headerFooter alignWithMargins="0"/>
  <ignoredErrors>
    <ignoredError sqref="F40 C40"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1</vt:i4>
      </vt:variant>
    </vt:vector>
  </HeadingPairs>
  <TitlesOfParts>
    <vt:vector size="2" baseType="lpstr">
      <vt:lpstr>Capacity of Non-sub. RCHEs</vt:lpstr>
      <vt:lpstr>'Capacity of Non-sub. RCHEs'!Print_Area</vt:lpstr>
    </vt:vector>
  </TitlesOfParts>
  <Company>Hong Kong SAR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Hong Kong SAR Government</dc:creator>
  <cp:lastModifiedBy>A(E)4</cp:lastModifiedBy>
  <cp:lastPrinted>2026-04-23T06:51:56Z</cp:lastPrinted>
  <dcterms:created xsi:type="dcterms:W3CDTF">1999-04-01T01:30:50Z</dcterms:created>
  <dcterms:modified xsi:type="dcterms:W3CDTF">2026-04-23T06:52:08Z</dcterms:modified>
  <cp:contentStatus/>
</cp:coreProperties>
</file>